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nya\Documents\"/>
    </mc:Choice>
  </mc:AlternateContent>
  <xr:revisionPtr revIDLastSave="0" documentId="13_ncr:1_{7D96A099-06C9-476E-9F7B-50C8C31F980D}" xr6:coauthVersionLast="47" xr6:coauthVersionMax="47" xr10:uidLastSave="{00000000-0000-0000-0000-000000000000}"/>
  <bookViews>
    <workbookView xWindow="-108" yWindow="-108" windowWidth="23256" windowHeight="12456" activeTab="1" xr2:uid="{F4401797-AAFA-42B6-AA28-1A2B44696D00}"/>
  </bookViews>
  <sheets>
    <sheet name="Sheet1" sheetId="1" r:id="rId1"/>
    <sheet name="Proced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0" i="1" l="1"/>
  <c r="D19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B16" i="1" l="1"/>
  <c r="B2" i="1"/>
  <c r="B5" i="1"/>
  <c r="B8" i="1"/>
  <c r="B15" i="1"/>
  <c r="B7" i="1"/>
  <c r="B14" i="1"/>
  <c r="B9" i="1"/>
  <c r="B10" i="1"/>
  <c r="B12" i="1"/>
  <c r="B11" i="1"/>
  <c r="B4" i="1"/>
  <c r="B13" i="1"/>
  <c r="B3" i="1"/>
  <c r="B6" i="1"/>
</calcChain>
</file>

<file path=xl/sharedStrings.xml><?xml version="1.0" encoding="utf-8"?>
<sst xmlns="http://schemas.openxmlformats.org/spreadsheetml/2006/main" count="104" uniqueCount="65">
  <si>
    <t xml:space="preserve">Order_ID </t>
  </si>
  <si>
    <t xml:space="preserve"> Product_Name     </t>
  </si>
  <si>
    <t xml:space="preserve"> Region_Product_Code </t>
  </si>
  <si>
    <t xml:space="preserve"> Sales_Amount </t>
  </si>
  <si>
    <t xml:space="preserve"> Quantity </t>
  </si>
  <si>
    <t xml:space="preserve"> Date</t>
  </si>
  <si>
    <t xml:space="preserve"> South_IPH14         </t>
  </si>
  <si>
    <t xml:space="preserve"> 01-01-2025</t>
  </si>
  <si>
    <t xml:space="preserve"> south_iph14         </t>
  </si>
  <si>
    <t xml:space="preserve"> North_SAM01         </t>
  </si>
  <si>
    <t xml:space="preserve"> 30,000 INR   </t>
  </si>
  <si>
    <t xml:space="preserve"> 02-01-2025</t>
  </si>
  <si>
    <t xml:space="preserve"> East_OP01           </t>
  </si>
  <si>
    <t xml:space="preserve"> 03-01-2025</t>
  </si>
  <si>
    <t xml:space="preserve"> West_VIVO27         </t>
  </si>
  <si>
    <t xml:space="preserve"> 04-01-2025</t>
  </si>
  <si>
    <t xml:space="preserve"> South_RED09         </t>
  </si>
  <si>
    <t xml:space="preserve"> 05-01-2025</t>
  </si>
  <si>
    <t xml:space="preserve"> North_OPP21         </t>
  </si>
  <si>
    <t xml:space="preserve"> 06-01-2025</t>
  </si>
  <si>
    <t>Region</t>
  </si>
  <si>
    <t>Product_Code</t>
  </si>
  <si>
    <t xml:space="preserve"> South</t>
  </si>
  <si>
    <t xml:space="preserve">IPH14         </t>
  </si>
  <si>
    <t xml:space="preserve"> south</t>
  </si>
  <si>
    <t xml:space="preserve">iph14         </t>
  </si>
  <si>
    <t xml:space="preserve"> North</t>
  </si>
  <si>
    <t xml:space="preserve">SAM01         </t>
  </si>
  <si>
    <t xml:space="preserve"> East</t>
  </si>
  <si>
    <t xml:space="preserve">OP01           </t>
  </si>
  <si>
    <t xml:space="preserve"> West</t>
  </si>
  <si>
    <t xml:space="preserve">VIVO27         </t>
  </si>
  <si>
    <t xml:space="preserve">RED09         </t>
  </si>
  <si>
    <t xml:space="preserve">OPP21         </t>
  </si>
  <si>
    <t>Fixed Sales_Amount</t>
  </si>
  <si>
    <t>Mean</t>
  </si>
  <si>
    <t>Standard Deviation</t>
  </si>
  <si>
    <t xml:space="preserve">15000rs      </t>
  </si>
  <si>
    <t>To handle inconsistent text data</t>
  </si>
  <si>
    <t>Multiple columns contain merged text values</t>
  </si>
  <si>
    <t>Duplicate records exist, but removing them incorrectly affects totals</t>
  </si>
  <si>
    <t xml:space="preserve">Summary Statistics </t>
  </si>
  <si>
    <t>Amount (numbers only)</t>
  </si>
  <si>
    <t xml:space="preserve">Fix numeric fields contain text and extra symbols </t>
  </si>
  <si>
    <t>Q.</t>
  </si>
  <si>
    <t>• Split merged columns using delimiters via Text to Columns</t>
  </si>
  <si>
    <t>•First standardize the data</t>
  </si>
  <si>
    <t>•Fix number formats</t>
  </si>
  <si>
    <t>•Instead of blindly removing them, I validate whether they are true duplicates or repeated transactions</t>
  </si>
  <si>
    <t>•Use TRIM() to remove extra spaces</t>
  </si>
  <si>
    <t>•Use PROPER() to convert text to proper case, first letter to capital</t>
  </si>
  <si>
    <t>•Use Find and replace method to correct any spelling differences</t>
  </si>
  <si>
    <t>•Remove symbols and text using SUSTITUTE()</t>
  </si>
  <si>
    <t>•Change text with numbers using Find and Replace</t>
  </si>
  <si>
    <t>•Clean Sales</t>
  </si>
  <si>
    <t>•No unwanted duplicates</t>
  </si>
  <si>
    <t>•Find mean using AVERAGE()</t>
  </si>
  <si>
    <t>•Find Standard Deviation using STDEV()</t>
  </si>
  <si>
    <t>How you would prevent future data issues and ensure the results remain accurate when new data is added.</t>
  </si>
  <si>
    <t>•Standardize data entry</t>
  </si>
  <si>
    <t>•Separate raw &amp; cleaned data</t>
  </si>
  <si>
    <t>•Use formulas instead of manual entry</t>
  </si>
  <si>
    <t>•Convert data into Table</t>
  </si>
  <si>
    <t>•Document your procedures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</si>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</sst>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6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Fill="1" applyBorder="1" applyAlignment="1"/>
    <xf numFmtId="1" fontId="0" fillId="0" borderId="0" xfId="0" applyNumberFormat="1" applyAlignment="1">
      <alignment horizontal="left"/>
    </xf>
    <xf numFmtId="0" fontId="1" fillId="2" borderId="0" xfId="0" applyFont="1" applyFill="1"/>
    <xf numFmtId="0" fontId="2" fillId="0" borderId="0" xfId="0" applyFont="1" applyFill="1" applyBorder="1" applyAlignment="1">
      <alignment horizontal="centerContinuous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4"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E5E17D-25AB-463D-88BE-78FA80CB1C59}" name="Table1" displayName="Table1" ref="A1:I16" totalsRowShown="0">
  <tableColumns count="9">
    <tableColumn id="1" xr3:uid="{8B9A6FC8-18BF-4877-8211-C7CFD5277897}" name="Order_ID " dataDxfId="3"/>
    <tableColumn id="2" xr3:uid="{CA5D72B4-CCA5-4220-80B9-E821CFAF137C}" name=" Product_Name     ">
      <calculatedColumnFormula>PROPER(TRIM(Table1[[#This Row],[ Product_Name     ]]))</calculatedColumnFormula>
    </tableColumn>
    <tableColumn id="3" xr3:uid="{5404A7D7-8098-436E-9A93-0088CB036828}" name=" Region_Product_Code "/>
    <tableColumn id="8" xr3:uid="{7ADE4C95-1D2D-4043-B207-802BF8DFC51D}" name="Region"/>
    <tableColumn id="7" xr3:uid="{731B1A89-1577-42F4-B3D5-310AEBD34C29}" name="Product_Code"/>
    <tableColumn id="4" xr3:uid="{359BB65C-B8FB-4864-8D40-58674AAAEE9F}" name=" Sales_Amount " dataDxfId="2"/>
    <tableColumn id="12" xr3:uid="{3D8D234F-B61E-4610-8D3C-B354A8542D48}" name="Fixed Sales_Amount" dataDxfId="0">
      <calculatedColumnFormula>VALUE(SUBSTITUTE(SUBSTITUTE(SUBSTITUTE(SUBSTITUTE(Table1[[#This Row],[ Sales_Amount ]],"₹",""),",",""),"INR",""),"rs",""))</calculatedColumnFormula>
    </tableColumn>
    <tableColumn id="5" xr3:uid="{286A8B23-4052-424C-BA0D-CB22B32BE268}" name=" Quantity " dataDxfId="1"/>
    <tableColumn id="6" xr3:uid="{4179CE21-F456-4A6D-95A1-F667BD77819E}" name=" Dat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A69C-19EF-48D3-B97E-F7A0ACC876A5}">
  <dimension ref="A1:L33"/>
  <sheetViews>
    <sheetView workbookViewId="0">
      <selection activeCell="L14" sqref="L14"/>
    </sheetView>
  </sheetViews>
  <sheetFormatPr defaultRowHeight="14.4" x14ac:dyDescent="0.3"/>
  <cols>
    <col min="1" max="1" width="10.33203125" style="1" customWidth="1"/>
    <col min="2" max="2" width="16.88671875" customWidth="1"/>
    <col min="3" max="3" width="21.109375" customWidth="1"/>
    <col min="4" max="4" width="8.77734375" bestFit="1" customWidth="1"/>
    <col min="5" max="5" width="14.88671875" bestFit="1" customWidth="1"/>
    <col min="6" max="6" width="14.88671875" style="1" customWidth="1"/>
    <col min="7" max="7" width="17.88671875" style="5" bestFit="1" customWidth="1"/>
    <col min="8" max="8" width="10.21875" style="1" customWidth="1"/>
    <col min="9" max="9" width="10.6640625" bestFit="1" customWidth="1"/>
    <col min="11" max="11" width="14.109375" bestFit="1" customWidth="1"/>
  </cols>
  <sheetData>
    <row r="1" spans="1:12" x14ac:dyDescent="0.3">
      <c r="A1" s="1" t="s">
        <v>0</v>
      </c>
      <c r="B1" t="s">
        <v>1</v>
      </c>
      <c r="C1" t="s">
        <v>2</v>
      </c>
      <c r="D1" t="s">
        <v>20</v>
      </c>
      <c r="E1" t="s">
        <v>21</v>
      </c>
      <c r="F1" s="1" t="s">
        <v>3</v>
      </c>
      <c r="G1" s="5" t="s">
        <v>34</v>
      </c>
      <c r="H1" s="1" t="s">
        <v>4</v>
      </c>
      <c r="I1" t="s">
        <v>5</v>
      </c>
    </row>
    <row r="2" spans="1:12" x14ac:dyDescent="0.3">
      <c r="A2" s="1">
        <v>101</v>
      </c>
      <c r="B2" t="str">
        <f ca="1">PROPER(TRIM(Table1[[#This Row],[ Product_Name     ]]))</f>
        <v>Iphone 14</v>
      </c>
      <c r="C2" t="s">
        <v>6</v>
      </c>
      <c r="D2" t="s">
        <v>22</v>
      </c>
      <c r="E2" t="s">
        <v>23</v>
      </c>
      <c r="F2" s="2">
        <v>50000</v>
      </c>
      <c r="G2" s="5">
        <f>VALUE(SUBSTITUTE(SUBSTITUTE(SUBSTITUTE(SUBSTITUTE(Table1[[#This Row],[ Sales_Amount ]],"₹",""),",",""),"INR",""),"rs",""))</f>
        <v>50000</v>
      </c>
      <c r="H2" s="1">
        <v>2</v>
      </c>
      <c r="I2" t="s">
        <v>7</v>
      </c>
      <c r="K2" s="7"/>
      <c r="L2" s="7"/>
    </row>
    <row r="3" spans="1:12" x14ac:dyDescent="0.3">
      <c r="A3" s="1">
        <v>102</v>
      </c>
      <c r="B3" t="str">
        <f ca="1">PROPER(TRIM(Table1[[#This Row],[ Product_Name     ]]))</f>
        <v>Iphone14</v>
      </c>
      <c r="C3" t="s">
        <v>8</v>
      </c>
      <c r="D3" t="s">
        <v>24</v>
      </c>
      <c r="E3" t="s">
        <v>25</v>
      </c>
      <c r="F3" s="1">
        <v>50000</v>
      </c>
      <c r="G3" s="5">
        <f>VALUE(SUBSTITUTE(SUBSTITUTE(SUBSTITUTE(SUBSTITUTE(Table1[[#This Row],[ Sales_Amount ]],"₹",""),",",""),"INR",""),"rs",""))</f>
        <v>50000</v>
      </c>
      <c r="H3" s="1">
        <v>2</v>
      </c>
      <c r="I3" t="s">
        <v>7</v>
      </c>
      <c r="K3" s="4"/>
      <c r="L3" s="4"/>
    </row>
    <row r="4" spans="1:12" x14ac:dyDescent="0.3">
      <c r="A4" s="1">
        <v>103</v>
      </c>
      <c r="B4" t="str">
        <f ca="1">PROPER(TRIM(Table1[[#This Row],[ Product_Name     ]]))</f>
        <v>Samsung Galaxy</v>
      </c>
      <c r="C4" t="s">
        <v>9</v>
      </c>
      <c r="D4" t="s">
        <v>26</v>
      </c>
      <c r="E4" t="s">
        <v>27</v>
      </c>
      <c r="F4" s="1" t="s">
        <v>10</v>
      </c>
      <c r="G4" s="5">
        <f>VALUE(SUBSTITUTE(SUBSTITUTE(SUBSTITUTE(SUBSTITUTE(Table1[[#This Row],[ Sales_Amount ]],"₹",""),",",""),"INR",""),"rs",""))</f>
        <v>30000</v>
      </c>
      <c r="H4" s="1">
        <v>1</v>
      </c>
      <c r="I4" t="s">
        <v>11</v>
      </c>
      <c r="K4" s="4"/>
      <c r="L4" s="4"/>
    </row>
    <row r="5" spans="1:12" x14ac:dyDescent="0.3">
      <c r="A5" s="1">
        <v>104</v>
      </c>
      <c r="B5" t="str">
        <f ca="1">PROPER(TRIM(Table1[[#This Row],[ Product_Name     ]]))</f>
        <v>Samsung Galaxy</v>
      </c>
      <c r="C5" t="s">
        <v>9</v>
      </c>
      <c r="D5" t="s">
        <v>26</v>
      </c>
      <c r="E5" t="s">
        <v>27</v>
      </c>
      <c r="F5" s="1">
        <v>30000</v>
      </c>
      <c r="G5" s="5">
        <f>VALUE(SUBSTITUTE(SUBSTITUTE(SUBSTITUTE(SUBSTITUTE(Table1[[#This Row],[ Sales_Amount ]],"₹",""),",",""),"INR",""),"rs",""))</f>
        <v>30000</v>
      </c>
      <c r="H5" s="1">
        <v>1</v>
      </c>
      <c r="I5" t="s">
        <v>11</v>
      </c>
      <c r="K5" s="4"/>
      <c r="L5" s="4"/>
    </row>
    <row r="6" spans="1:12" x14ac:dyDescent="0.3">
      <c r="A6" s="1">
        <v>105</v>
      </c>
      <c r="B6" t="str">
        <f ca="1">PROPER(TRIM(Table1[[#This Row],[ Product_Name     ]]))</f>
        <v>One Plus</v>
      </c>
      <c r="C6" t="s">
        <v>12</v>
      </c>
      <c r="D6" t="s">
        <v>28</v>
      </c>
      <c r="E6" t="s">
        <v>29</v>
      </c>
      <c r="F6" s="1">
        <v>25000</v>
      </c>
      <c r="G6" s="5">
        <f>VALUE(SUBSTITUTE(SUBSTITUTE(SUBSTITUTE(SUBSTITUTE(Table1[[#This Row],[ Sales_Amount ]],"₹",""),",",""),"INR",""),"rs",""))</f>
        <v>25000</v>
      </c>
      <c r="H6" s="1">
        <v>2</v>
      </c>
      <c r="I6" t="s">
        <v>13</v>
      </c>
      <c r="K6" s="4"/>
      <c r="L6" s="4"/>
    </row>
    <row r="7" spans="1:12" x14ac:dyDescent="0.3">
      <c r="A7" s="1">
        <v>106</v>
      </c>
      <c r="B7" t="str">
        <f ca="1">PROPER(TRIM(Table1[[#This Row],[ Product_Name     ]]))</f>
        <v>Oneplus</v>
      </c>
      <c r="C7" t="s">
        <v>12</v>
      </c>
      <c r="D7" t="s">
        <v>28</v>
      </c>
      <c r="E7" t="s">
        <v>29</v>
      </c>
      <c r="F7" s="2">
        <v>25000</v>
      </c>
      <c r="G7" s="5">
        <f>VALUE(SUBSTITUTE(SUBSTITUTE(SUBSTITUTE(SUBSTITUTE(Table1[[#This Row],[ Sales_Amount ]],"₹",""),",",""),"INR",""),"rs",""))</f>
        <v>25000</v>
      </c>
      <c r="H7" s="1">
        <v>2</v>
      </c>
      <c r="I7" t="s">
        <v>13</v>
      </c>
      <c r="K7" s="4"/>
      <c r="L7" s="4"/>
    </row>
    <row r="8" spans="1:12" x14ac:dyDescent="0.3">
      <c r="A8" s="1">
        <v>107</v>
      </c>
      <c r="B8" t="str">
        <f ca="1">PROPER(TRIM(Table1[[#This Row],[ Product_Name     ]]))</f>
        <v>Vivo V27</v>
      </c>
      <c r="C8" t="s">
        <v>14</v>
      </c>
      <c r="D8" t="s">
        <v>30</v>
      </c>
      <c r="E8" t="s">
        <v>31</v>
      </c>
      <c r="F8" s="1">
        <v>20000</v>
      </c>
      <c r="G8" s="5">
        <f>VALUE(SUBSTITUTE(SUBSTITUTE(SUBSTITUTE(SUBSTITUTE(Table1[[#This Row],[ Sales_Amount ]],"₹",""),",",""),"INR",""),"rs",""))</f>
        <v>20000</v>
      </c>
      <c r="H8" s="1">
        <v>1</v>
      </c>
      <c r="I8" t="s">
        <v>15</v>
      </c>
      <c r="K8" s="4"/>
      <c r="L8" s="4"/>
    </row>
    <row r="9" spans="1:12" x14ac:dyDescent="0.3">
      <c r="A9" s="1">
        <v>108</v>
      </c>
      <c r="B9" t="str">
        <f ca="1">PROPER(TRIM(Table1[[#This Row],[ Product_Name     ]]))</f>
        <v>Vivo V27</v>
      </c>
      <c r="C9" t="s">
        <v>14</v>
      </c>
      <c r="D9" t="s">
        <v>30</v>
      </c>
      <c r="E9" t="s">
        <v>31</v>
      </c>
      <c r="F9" s="3">
        <v>20000</v>
      </c>
      <c r="G9" s="5">
        <f>VALUE(SUBSTITUTE(SUBSTITUTE(SUBSTITUTE(SUBSTITUTE(Table1[[#This Row],[ Sales_Amount ]],"₹",""),",",""),"INR",""),"rs",""))</f>
        <v>20000</v>
      </c>
      <c r="H9" s="1">
        <v>1</v>
      </c>
      <c r="I9" t="s">
        <v>15</v>
      </c>
      <c r="K9" s="4"/>
      <c r="L9" s="4"/>
    </row>
    <row r="10" spans="1:12" x14ac:dyDescent="0.3">
      <c r="A10" s="1">
        <v>109</v>
      </c>
      <c r="B10" t="str">
        <f ca="1">PROPER(TRIM(Table1[[#This Row],[ Product_Name     ]]))</f>
        <v>Redmi Note</v>
      </c>
      <c r="C10" t="s">
        <v>16</v>
      </c>
      <c r="D10" t="s">
        <v>22</v>
      </c>
      <c r="E10" t="s">
        <v>32</v>
      </c>
      <c r="F10" s="1" t="s">
        <v>37</v>
      </c>
      <c r="G10" s="5">
        <f>VALUE(SUBSTITUTE(SUBSTITUTE(SUBSTITUTE(SUBSTITUTE(Table1[[#This Row],[ Sales_Amount ]],"₹",""),",",""),"INR",""),"rs",""))</f>
        <v>15000</v>
      </c>
      <c r="H10" s="1">
        <v>1</v>
      </c>
      <c r="I10" t="s">
        <v>17</v>
      </c>
      <c r="K10" s="4"/>
      <c r="L10" s="4"/>
    </row>
    <row r="11" spans="1:12" x14ac:dyDescent="0.3">
      <c r="A11" s="1">
        <v>110</v>
      </c>
      <c r="B11" t="str">
        <f ca="1">PROPER(TRIM(Table1[[#This Row],[ Product_Name     ]]))</f>
        <v>Redmi Note</v>
      </c>
      <c r="C11" t="s">
        <v>16</v>
      </c>
      <c r="D11" t="s">
        <v>22</v>
      </c>
      <c r="E11" t="s">
        <v>32</v>
      </c>
      <c r="F11" s="1">
        <v>15000</v>
      </c>
      <c r="G11" s="5">
        <f>VALUE(SUBSTITUTE(SUBSTITUTE(SUBSTITUTE(SUBSTITUTE(Table1[[#This Row],[ Sales_Amount ]],"₹",""),",",""),"INR",""),"rs",""))</f>
        <v>15000</v>
      </c>
      <c r="H11" s="1">
        <v>1</v>
      </c>
      <c r="I11" t="s">
        <v>17</v>
      </c>
      <c r="K11" s="4"/>
      <c r="L11" s="4"/>
    </row>
    <row r="12" spans="1:12" x14ac:dyDescent="0.3">
      <c r="A12" s="1">
        <v>111</v>
      </c>
      <c r="B12" t="str">
        <f ca="1">PROPER(TRIM(Table1[[#This Row],[ Product_Name     ]]))</f>
        <v>Oppo F21</v>
      </c>
      <c r="C12" t="s">
        <v>18</v>
      </c>
      <c r="D12" t="s">
        <v>26</v>
      </c>
      <c r="E12" t="s">
        <v>33</v>
      </c>
      <c r="F12" s="1">
        <v>18000</v>
      </c>
      <c r="G12" s="5">
        <f>VALUE(SUBSTITUTE(SUBSTITUTE(SUBSTITUTE(SUBSTITUTE(Table1[[#This Row],[ Sales_Amount ]],"₹",""),",",""),"INR",""),"rs",""))</f>
        <v>18000</v>
      </c>
      <c r="H12" s="1">
        <v>1</v>
      </c>
      <c r="I12" t="s">
        <v>19</v>
      </c>
      <c r="K12" s="4"/>
      <c r="L12" s="4"/>
    </row>
    <row r="13" spans="1:12" x14ac:dyDescent="0.3">
      <c r="A13" s="1">
        <v>112</v>
      </c>
      <c r="B13" t="str">
        <f ca="1">PROPER(TRIM(Table1[[#This Row],[ Product_Name     ]]))</f>
        <v>Oppo F21</v>
      </c>
      <c r="C13" t="s">
        <v>18</v>
      </c>
      <c r="D13" t="s">
        <v>26</v>
      </c>
      <c r="E13" t="s">
        <v>33</v>
      </c>
      <c r="F13" s="2">
        <v>18000</v>
      </c>
      <c r="G13" s="5">
        <f>VALUE(SUBSTITUTE(SUBSTITUTE(SUBSTITUTE(SUBSTITUTE(Table1[[#This Row],[ Sales_Amount ]],"₹",""),",",""),"INR",""),"rs",""))</f>
        <v>18000</v>
      </c>
      <c r="H13" s="1">
        <v>1</v>
      </c>
      <c r="I13" t="s">
        <v>19</v>
      </c>
      <c r="K13" s="4"/>
      <c r="L13" s="4"/>
    </row>
    <row r="14" spans="1:12" x14ac:dyDescent="0.3">
      <c r="A14" s="1">
        <v>113</v>
      </c>
      <c r="B14" t="str">
        <f ca="1">PROPER(TRIM(Table1[[#This Row],[ Product_Name     ]]))</f>
        <v>Iphone 14</v>
      </c>
      <c r="C14" t="s">
        <v>6</v>
      </c>
      <c r="D14" t="s">
        <v>22</v>
      </c>
      <c r="E14" t="s">
        <v>23</v>
      </c>
      <c r="F14" s="1">
        <v>50000</v>
      </c>
      <c r="G14" s="5">
        <f>VALUE(SUBSTITUTE(SUBSTITUTE(SUBSTITUTE(SUBSTITUTE(Table1[[#This Row],[ Sales_Amount ]],"₹",""),",",""),"INR",""),"rs",""))</f>
        <v>50000</v>
      </c>
      <c r="H14" s="1">
        <v>2</v>
      </c>
      <c r="I14" t="s">
        <v>7</v>
      </c>
      <c r="K14" s="4"/>
      <c r="L14" s="4" t="s">
        <v>64</v>
      </c>
    </row>
    <row r="15" spans="1:12" x14ac:dyDescent="0.3">
      <c r="A15" s="1">
        <v>114</v>
      </c>
      <c r="B15" t="str">
        <f ca="1">PROPER(TRIM(Table1[[#This Row],[ Product_Name     ]]))</f>
        <v>Iphone 14</v>
      </c>
      <c r="C15" t="s">
        <v>6</v>
      </c>
      <c r="D15" t="s">
        <v>22</v>
      </c>
      <c r="E15" t="s">
        <v>23</v>
      </c>
      <c r="F15" s="3">
        <v>50000</v>
      </c>
      <c r="G15" s="5">
        <f>VALUE(SUBSTITUTE(SUBSTITUTE(SUBSTITUTE(SUBSTITUTE(Table1[[#This Row],[ Sales_Amount ]],"₹",""),",",""),"INR",""),"rs",""))</f>
        <v>50000</v>
      </c>
      <c r="H15" s="1">
        <v>2</v>
      </c>
      <c r="I15" t="s">
        <v>7</v>
      </c>
      <c r="K15" s="4"/>
      <c r="L15" s="4"/>
    </row>
    <row r="16" spans="1:12" x14ac:dyDescent="0.3">
      <c r="A16" s="1">
        <v>115</v>
      </c>
      <c r="B16" t="str">
        <f ca="1">PROPER(TRIM(Table1[[#This Row],[ Product_Name     ]]))</f>
        <v>Samsung Galaxy</v>
      </c>
      <c r="C16" t="s">
        <v>9</v>
      </c>
      <c r="D16" t="s">
        <v>26</v>
      </c>
      <c r="E16" t="s">
        <v>27</v>
      </c>
      <c r="F16" s="1">
        <v>30000</v>
      </c>
      <c r="G16" s="5">
        <f>VALUE(SUBSTITUTE(SUBSTITUTE(SUBSTITUTE(SUBSTITUTE(Table1[[#This Row],[ Sales_Amount ]],"₹",""),",",""),"INR",""),"rs",""))</f>
        <v>30000</v>
      </c>
      <c r="H16" s="1">
        <v>1</v>
      </c>
      <c r="I16" t="s">
        <v>11</v>
      </c>
      <c r="K16" s="4"/>
      <c r="L16" s="4"/>
    </row>
    <row r="19" spans="3:8" x14ac:dyDescent="0.3">
      <c r="C19" s="6" t="s">
        <v>35</v>
      </c>
      <c r="D19" s="6">
        <f>AVERAGE(Table1[Fixed Sales_Amount])</f>
        <v>29733.333333333332</v>
      </c>
      <c r="H19"/>
    </row>
    <row r="20" spans="3:8" x14ac:dyDescent="0.3">
      <c r="C20" s="6" t="s">
        <v>36</v>
      </c>
      <c r="D20" s="6">
        <f>_xlfn.STDEV.S(Table1[Fixed Sales_Amount])</f>
        <v>13593.415773121647</v>
      </c>
      <c r="H20"/>
    </row>
    <row r="21" spans="3:8" x14ac:dyDescent="0.3">
      <c r="H21"/>
    </row>
    <row r="22" spans="3:8" x14ac:dyDescent="0.3">
      <c r="H22"/>
    </row>
    <row r="23" spans="3:8" x14ac:dyDescent="0.3">
      <c r="H23"/>
    </row>
    <row r="24" spans="3:8" x14ac:dyDescent="0.3">
      <c r="H24"/>
    </row>
    <row r="25" spans="3:8" x14ac:dyDescent="0.3">
      <c r="H25"/>
    </row>
    <row r="26" spans="3:8" x14ac:dyDescent="0.3">
      <c r="H26"/>
    </row>
    <row r="27" spans="3:8" x14ac:dyDescent="0.3">
      <c r="H27"/>
    </row>
    <row r="28" spans="3:8" x14ac:dyDescent="0.3">
      <c r="H28"/>
    </row>
    <row r="29" spans="3:8" x14ac:dyDescent="0.3">
      <c r="H29"/>
    </row>
    <row r="30" spans="3:8" x14ac:dyDescent="0.3">
      <c r="H30"/>
    </row>
    <row r="31" spans="3:8" x14ac:dyDescent="0.3">
      <c r="H31"/>
    </row>
    <row r="32" spans="3:8" x14ac:dyDescent="0.3">
      <c r="H32"/>
    </row>
    <row r="33" spans="8:8" x14ac:dyDescent="0.3">
      <c r="H3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547EE-1B50-4141-86FE-892580115464}">
  <dimension ref="A2:C34"/>
  <sheetViews>
    <sheetView tabSelected="1" workbookViewId="0">
      <selection activeCell="P25" sqref="P25"/>
    </sheetView>
  </sheetViews>
  <sheetFormatPr defaultRowHeight="18" x14ac:dyDescent="0.35"/>
  <cols>
    <col min="1" max="1" width="8.88671875" style="10"/>
  </cols>
  <sheetData>
    <row r="2" spans="1:2" x14ac:dyDescent="0.35">
      <c r="A2" s="10" t="s">
        <v>44</v>
      </c>
      <c r="B2" s="9" t="s">
        <v>38</v>
      </c>
    </row>
    <row r="4" spans="1:2" x14ac:dyDescent="0.35">
      <c r="B4" s="8" t="s">
        <v>49</v>
      </c>
    </row>
    <row r="5" spans="1:2" x14ac:dyDescent="0.35">
      <c r="B5" s="8" t="s">
        <v>50</v>
      </c>
    </row>
    <row r="6" spans="1:2" x14ac:dyDescent="0.35">
      <c r="B6" s="8" t="s">
        <v>51</v>
      </c>
    </row>
    <row r="8" spans="1:2" x14ac:dyDescent="0.35">
      <c r="B8" s="9" t="s">
        <v>39</v>
      </c>
    </row>
    <row r="10" spans="1:2" x14ac:dyDescent="0.35">
      <c r="B10" s="8" t="s">
        <v>45</v>
      </c>
    </row>
    <row r="12" spans="1:2" x14ac:dyDescent="0.35">
      <c r="A12" s="10" t="s">
        <v>44</v>
      </c>
      <c r="B12" s="9" t="s">
        <v>40</v>
      </c>
    </row>
    <row r="14" spans="1:2" x14ac:dyDescent="0.35">
      <c r="B14" s="8" t="s">
        <v>46</v>
      </c>
    </row>
    <row r="15" spans="1:2" x14ac:dyDescent="0.35">
      <c r="B15" s="8" t="s">
        <v>47</v>
      </c>
    </row>
    <row r="16" spans="1:2" x14ac:dyDescent="0.35">
      <c r="B16" s="8" t="s">
        <v>48</v>
      </c>
    </row>
    <row r="18" spans="1:3" x14ac:dyDescent="0.35">
      <c r="A18" s="10" t="s">
        <v>44</v>
      </c>
      <c r="B18" s="9" t="s">
        <v>43</v>
      </c>
    </row>
    <row r="19" spans="1:3" x14ac:dyDescent="0.35">
      <c r="B19" s="8" t="s">
        <v>52</v>
      </c>
    </row>
    <row r="20" spans="1:3" x14ac:dyDescent="0.35">
      <c r="B20" s="8" t="s">
        <v>53</v>
      </c>
    </row>
    <row r="22" spans="1:3" x14ac:dyDescent="0.35">
      <c r="A22" s="10" t="s">
        <v>44</v>
      </c>
      <c r="B22" s="9" t="s">
        <v>41</v>
      </c>
    </row>
    <row r="23" spans="1:3" x14ac:dyDescent="0.35">
      <c r="B23" s="8" t="s">
        <v>54</v>
      </c>
      <c r="C23" t="s">
        <v>42</v>
      </c>
    </row>
    <row r="24" spans="1:3" x14ac:dyDescent="0.35">
      <c r="B24" s="8" t="s">
        <v>55</v>
      </c>
    </row>
    <row r="25" spans="1:3" x14ac:dyDescent="0.35">
      <c r="B25" s="8" t="s">
        <v>56</v>
      </c>
    </row>
    <row r="26" spans="1:3" x14ac:dyDescent="0.35">
      <c r="B26" s="8" t="s">
        <v>57</v>
      </c>
    </row>
    <row r="28" spans="1:3" x14ac:dyDescent="0.35">
      <c r="A28" s="10" t="s">
        <v>44</v>
      </c>
      <c r="B28" s="9" t="s">
        <v>58</v>
      </c>
    </row>
    <row r="30" spans="1:3" x14ac:dyDescent="0.35">
      <c r="B30" s="8" t="s">
        <v>59</v>
      </c>
    </row>
    <row r="31" spans="1:3" x14ac:dyDescent="0.35">
      <c r="B31" s="8" t="s">
        <v>60</v>
      </c>
    </row>
    <row r="32" spans="1:3" x14ac:dyDescent="0.35">
      <c r="B32" s="8" t="s">
        <v>61</v>
      </c>
    </row>
    <row r="33" spans="2:2" x14ac:dyDescent="0.35">
      <c r="B33" s="8" t="s">
        <v>62</v>
      </c>
    </row>
    <row r="34" spans="2:2" x14ac:dyDescent="0.35">
      <c r="B34" s="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Mohan, Sarath (Postgraduate Student)</dc:creator>
  <cp:lastModifiedBy>Mohan, Sarath (Postgraduate Student)</cp:lastModifiedBy>
  <dcterms:created xsi:type="dcterms:W3CDTF">2026-04-29T04:23:41Z</dcterms:created>
  <dcterms:modified xsi:type="dcterms:W3CDTF">2026-04-29T06:55:16Z</dcterms:modified>
</cp:coreProperties>
</file>